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bcf6c0931e32f1/Documents/"/>
    </mc:Choice>
  </mc:AlternateContent>
  <xr:revisionPtr revIDLastSave="0" documentId="8_{0998663D-CB13-4885-923D-6A418C8C88E0}" xr6:coauthVersionLast="47" xr6:coauthVersionMax="47" xr10:uidLastSave="{00000000-0000-0000-0000-000000000000}"/>
  <bookViews>
    <workbookView xWindow="-120" yWindow="-120" windowWidth="20730" windowHeight="11040" activeTab="4" xr2:uid="{9353AC5D-E962-41A0-AE80-0F9AE3F3B88C}"/>
  </bookViews>
  <sheets>
    <sheet name="Employee Data Sheet" sheetId="1" r:id="rId1"/>
    <sheet name="Equipment Inventory Sheet" sheetId="2" r:id="rId2"/>
    <sheet name="Software Licenses" sheetId="3" r:id="rId3"/>
    <sheet name="Ticket" sheetId="4" r:id="rId4"/>
    <sheet name="Dashboa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5" l="1"/>
  <c r="B2" i="5"/>
  <c r="B3" i="5"/>
  <c r="B4" i="5"/>
  <c r="B5" i="5"/>
  <c r="E3" i="3"/>
  <c r="E4" i="3"/>
  <c r="E5" i="3"/>
  <c r="E6" i="3"/>
  <c r="E7" i="3"/>
  <c r="E8" i="3"/>
  <c r="E9" i="3"/>
  <c r="E10" i="3"/>
  <c r="E11" i="3"/>
  <c r="E2" i="3"/>
</calcChain>
</file>

<file path=xl/sharedStrings.xml><?xml version="1.0" encoding="utf-8"?>
<sst xmlns="http://schemas.openxmlformats.org/spreadsheetml/2006/main" count="299" uniqueCount="204">
  <si>
    <t>Employee ID</t>
  </si>
  <si>
    <t>First Name</t>
  </si>
  <si>
    <t>Last Name</t>
  </si>
  <si>
    <t>Department</t>
  </si>
  <si>
    <t>Email</t>
  </si>
  <si>
    <t>John</t>
  </si>
  <si>
    <t>Smith</t>
  </si>
  <si>
    <t>HR</t>
  </si>
  <si>
    <t>john.smith@company.com</t>
  </si>
  <si>
    <t>Sarah</t>
  </si>
  <si>
    <t>Jones</t>
  </si>
  <si>
    <t>Finance</t>
  </si>
  <si>
    <t>sarah.jones@company.com</t>
  </si>
  <si>
    <t>Michael</t>
  </si>
  <si>
    <t>Brown</t>
  </si>
  <si>
    <t>IT</t>
  </si>
  <si>
    <t>michael.brown@company.com</t>
  </si>
  <si>
    <t>Emily</t>
  </si>
  <si>
    <t>Davis</t>
  </si>
  <si>
    <t>Marketing</t>
  </si>
  <si>
    <t>emily.davis@company.com</t>
  </si>
  <si>
    <t>David</t>
  </si>
  <si>
    <t>Wilson</t>
  </si>
  <si>
    <t>Operations</t>
  </si>
  <si>
    <t>david.wilson@company.com</t>
  </si>
  <si>
    <t>Jessica</t>
  </si>
  <si>
    <t>Taylor</t>
  </si>
  <si>
    <t>jessica.taylor@company.com</t>
  </si>
  <si>
    <t>Christopher</t>
  </si>
  <si>
    <t>Moore</t>
  </si>
  <si>
    <t>christopher.moore@company.com</t>
  </si>
  <si>
    <t>Ashley</t>
  </si>
  <si>
    <t>Anderson</t>
  </si>
  <si>
    <t>ashley.anderson@company.com</t>
  </si>
  <si>
    <t>Matthew</t>
  </si>
  <si>
    <t>Thomas</t>
  </si>
  <si>
    <t>matthew.thomas@company.com</t>
  </si>
  <si>
    <t>Amanda</t>
  </si>
  <si>
    <t>Jackson</t>
  </si>
  <si>
    <t>amanda.jackson@company.com</t>
  </si>
  <si>
    <t>Daniel</t>
  </si>
  <si>
    <t>White</t>
  </si>
  <si>
    <t>daniel.white@company.com</t>
  </si>
  <si>
    <t>Megan</t>
  </si>
  <si>
    <t>Harris</t>
  </si>
  <si>
    <t>megan.harris@company.com</t>
  </si>
  <si>
    <t>Joshua</t>
  </si>
  <si>
    <t>Martin</t>
  </si>
  <si>
    <t>joshua.martin@company.com</t>
  </si>
  <si>
    <t>Lauren</t>
  </si>
  <si>
    <t>Thompson</t>
  </si>
  <si>
    <t>lauren.thompson@company.com</t>
  </si>
  <si>
    <t>Andrew</t>
  </si>
  <si>
    <t>Garcia</t>
  </si>
  <si>
    <t>andrew.garcia@company.com</t>
  </si>
  <si>
    <t>Brittany</t>
  </si>
  <si>
    <t>Martinez</t>
  </si>
  <si>
    <t>brittany.martinez@company.com</t>
  </si>
  <si>
    <t>Ryan</t>
  </si>
  <si>
    <t>Robinson</t>
  </si>
  <si>
    <t>ryan.robinson@company.com</t>
  </si>
  <si>
    <t>Nicole</t>
  </si>
  <si>
    <t>Clark</t>
  </si>
  <si>
    <t>nicole.clark@company.com</t>
  </si>
  <si>
    <t>Kevin</t>
  </si>
  <si>
    <t>Rodriguez</t>
  </si>
  <si>
    <t>kevin.rodriguez@company.com</t>
  </si>
  <si>
    <t>Stephanie</t>
  </si>
  <si>
    <t>Lewis</t>
  </si>
  <si>
    <t>stephanie.lewis@company.com</t>
  </si>
  <si>
    <t>Asset ID</t>
  </si>
  <si>
    <t>Device Type</t>
  </si>
  <si>
    <t>Brand</t>
  </si>
  <si>
    <t>Model</t>
  </si>
  <si>
    <t>Assigned To</t>
  </si>
  <si>
    <t>Status</t>
  </si>
  <si>
    <t>LT001</t>
  </si>
  <si>
    <t>Laptop</t>
  </si>
  <si>
    <t>Dell</t>
  </si>
  <si>
    <t>Latitude 5440</t>
  </si>
  <si>
    <t>John Smith</t>
  </si>
  <si>
    <t>Active</t>
  </si>
  <si>
    <t>LT002</t>
  </si>
  <si>
    <t>Sarah Jones</t>
  </si>
  <si>
    <t>LT003</t>
  </si>
  <si>
    <t>HP</t>
  </si>
  <si>
    <t>EliteBook 840</t>
  </si>
  <si>
    <t>Michael Brown</t>
  </si>
  <si>
    <t>LT004</t>
  </si>
  <si>
    <t>Lenovo</t>
  </si>
  <si>
    <t>ThinkPad E16</t>
  </si>
  <si>
    <t>Emily Davis</t>
  </si>
  <si>
    <t>LT005</t>
  </si>
  <si>
    <t>Latitude 5430</t>
  </si>
  <si>
    <t>David Wilson</t>
  </si>
  <si>
    <t>LT006</t>
  </si>
  <si>
    <t>EliteBook 850</t>
  </si>
  <si>
    <t>Jessica Taylor</t>
  </si>
  <si>
    <t>LT007</t>
  </si>
  <si>
    <t>ThinkPad T14</t>
  </si>
  <si>
    <t>Christopher Moore</t>
  </si>
  <si>
    <t>LT008</t>
  </si>
  <si>
    <t>Latitude 7440</t>
  </si>
  <si>
    <t>Ashley Anderson</t>
  </si>
  <si>
    <t>LT009</t>
  </si>
  <si>
    <t>ProBook 450</t>
  </si>
  <si>
    <t>Matthew Thomas</t>
  </si>
  <si>
    <t>LT010</t>
  </si>
  <si>
    <t>ThinkPad L15</t>
  </si>
  <si>
    <t>Amanda Jackson</t>
  </si>
  <si>
    <t>MN001</t>
  </si>
  <si>
    <t>Monitor</t>
  </si>
  <si>
    <t>P2422H</t>
  </si>
  <si>
    <t>Daniel White</t>
  </si>
  <si>
    <t>MN002</t>
  </si>
  <si>
    <t>E24 G5</t>
  </si>
  <si>
    <t>Megan Harris</t>
  </si>
  <si>
    <t>MN003</t>
  </si>
  <si>
    <t>Joshua Martin</t>
  </si>
  <si>
    <t>MN004</t>
  </si>
  <si>
    <t>ThinkVision T24</t>
  </si>
  <si>
    <t>Lauren Thompson</t>
  </si>
  <si>
    <t>MN005</t>
  </si>
  <si>
    <t>Andrew Garcia</t>
  </si>
  <si>
    <t>KB001</t>
  </si>
  <si>
    <t>Keyboard</t>
  </si>
  <si>
    <t>Logitech</t>
  </si>
  <si>
    <t>K120</t>
  </si>
  <si>
    <t>Brittany Martinez</t>
  </si>
  <si>
    <t>KB002</t>
  </si>
  <si>
    <t>KB216</t>
  </si>
  <si>
    <t>Ryan Robinson</t>
  </si>
  <si>
    <t>KB003</t>
  </si>
  <si>
    <t>MK270</t>
  </si>
  <si>
    <t>Nicole Clark</t>
  </si>
  <si>
    <t>KB004</t>
  </si>
  <si>
    <t>125 Wired</t>
  </si>
  <si>
    <t>Kevin Rodriguez</t>
  </si>
  <si>
    <t>KB005</t>
  </si>
  <si>
    <t>Stephanie Lewis</t>
  </si>
  <si>
    <t>Software</t>
  </si>
  <si>
    <t>License Key</t>
  </si>
  <si>
    <t>Total Licenses</t>
  </si>
  <si>
    <t>Used Licenses</t>
  </si>
  <si>
    <t>Available Licenses</t>
  </si>
  <si>
    <t>Microsoft 365</t>
  </si>
  <si>
    <t>MS365-001</t>
  </si>
  <si>
    <t>Adobe Acrobat Pro</t>
  </si>
  <si>
    <t>AAP-002</t>
  </si>
  <si>
    <t>Zoom Workplace</t>
  </si>
  <si>
    <t>ZM-003</t>
  </si>
  <si>
    <t>Slack</t>
  </si>
  <si>
    <t>SL-004</t>
  </si>
  <si>
    <t>Microsoft Visio</t>
  </si>
  <si>
    <t>VIS-005</t>
  </si>
  <si>
    <t>Microsoft Project</t>
  </si>
  <si>
    <t>MP-006</t>
  </si>
  <si>
    <t>TeamViewer</t>
  </si>
  <si>
    <t>TV-007</t>
  </si>
  <si>
    <t>Cisco AnyConnect</t>
  </si>
  <si>
    <t>CA-008</t>
  </si>
  <si>
    <t>Dropbox Business</t>
  </si>
  <si>
    <t>DB-009</t>
  </si>
  <si>
    <t>Grammarly Business</t>
  </si>
  <si>
    <t>GB-010</t>
  </si>
  <si>
    <t>Ticket ID</t>
  </si>
  <si>
    <t>Employee</t>
  </si>
  <si>
    <t>Issue</t>
  </si>
  <si>
    <t>Priority</t>
  </si>
  <si>
    <t>Date Created</t>
  </si>
  <si>
    <t>T001</t>
  </si>
  <si>
    <t>Password reset needed</t>
  </si>
  <si>
    <t>High</t>
  </si>
  <si>
    <t>Open</t>
  </si>
  <si>
    <t>T002</t>
  </si>
  <si>
    <t>Outlook not syncing</t>
  </si>
  <si>
    <t>Medium</t>
  </si>
  <si>
    <t>In Progress</t>
  </si>
  <si>
    <t>T003</t>
  </si>
  <si>
    <t>Laptop running slow</t>
  </si>
  <si>
    <t>T004</t>
  </si>
  <si>
    <t>Printer not connecting</t>
  </si>
  <si>
    <t>Closed</t>
  </si>
  <si>
    <t>T005</t>
  </si>
  <si>
    <t>Software installation request</t>
  </si>
  <si>
    <t>Low</t>
  </si>
  <si>
    <t>T006</t>
  </si>
  <si>
    <t>Wi-Fi connection issue</t>
  </si>
  <si>
    <t>T007</t>
  </si>
  <si>
    <t>VPN not working</t>
  </si>
  <si>
    <t>T008</t>
  </si>
  <si>
    <t>Monitor not detected</t>
  </si>
  <si>
    <t>T009</t>
  </si>
  <si>
    <t>Email access issue</t>
  </si>
  <si>
    <t>T010</t>
  </si>
  <si>
    <t>Account locked</t>
  </si>
  <si>
    <t>Total Employees</t>
  </si>
  <si>
    <t>Total Equipment</t>
  </si>
  <si>
    <t>Total Tickets</t>
  </si>
  <si>
    <t>Open Tickets</t>
  </si>
  <si>
    <t>Closed Tickets</t>
  </si>
  <si>
    <t>Metric</t>
  </si>
  <si>
    <t>Value</t>
  </si>
  <si>
    <t xml:space="preserve">Medium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</si>
</sst>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3" xfId="0" applyFont="1" applyFill="1" applyBorder="1"/>
    <xf numFmtId="0" fontId="2" fillId="3" borderId="2" xfId="0" applyFont="1" applyFill="1" applyBorder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all" baseline="0"/>
              <a:t>Ticket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F03-48C8-B116-B949E7D44C4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F03-48C8-B116-B949E7D44C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Dashboard!$A$5:$A$6</c:f>
              <c:strCache>
                <c:ptCount val="2"/>
                <c:pt idx="0">
                  <c:v>Open Tickets</c:v>
                </c:pt>
                <c:pt idx="1">
                  <c:v>Closed Tickets</c:v>
                </c:pt>
              </c:strCache>
            </c:strRef>
          </c:cat>
          <c:val>
            <c:numRef>
              <c:f>Dashboard!$B$5:$B$6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3-48C8-B116-B949E7D44C4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0</xdr:rowOff>
    </xdr:from>
    <xdr:to>
      <xdr:col>9</xdr:col>
      <xdr:colOff>333375</xdr:colOff>
      <xdr:row>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58967C-C850-8675-8FE0-6A7FBBEB1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723E02-810A-4486-8D2D-278BCFE46D3D}" name="Table2" displayName="Table2" ref="A1:E21" totalsRowShown="0" headerRowDxfId="16" dataDxfId="17">
  <autoFilter ref="A1:E21" xr:uid="{90723E02-810A-4486-8D2D-278BCFE46D3D}"/>
  <tableColumns count="5">
    <tableColumn id="1" xr3:uid="{A76C2C82-6ED2-45AE-8E10-06629D21C30C}" name="Employee ID" dataDxfId="22"/>
    <tableColumn id="2" xr3:uid="{41F1E738-0D62-4C56-8511-F0D94A2B3164}" name="First Name" dataDxfId="21"/>
    <tableColumn id="3" xr3:uid="{55783D82-01B6-4150-A7C6-7377E17F34F5}" name="Last Name" dataDxfId="20"/>
    <tableColumn id="4" xr3:uid="{04B727B5-FB3D-47BC-881F-1F528EF041E1}" name="Department" dataDxfId="19"/>
    <tableColumn id="5" xr3:uid="{096DFA67-2A0B-4519-8BF9-ED677D0B6062}" name="Email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32532-4958-497F-B6F3-C729871D0DF8}" name="Table1" displayName="Table1" ref="A1:F21" totalsRowShown="0" headerRowDxfId="23" dataDxfId="24">
  <autoFilter ref="A1:F21" xr:uid="{90C32532-4958-497F-B6F3-C729871D0DF8}"/>
  <tableColumns count="6">
    <tableColumn id="1" xr3:uid="{220FBF99-00BD-40B9-96CF-D93A0E538CEB}" name="Asset ID" dataDxfId="30"/>
    <tableColumn id="2" xr3:uid="{743B5863-E791-4960-AADA-ADA126FC7529}" name="Device Type" dataDxfId="29"/>
    <tableColumn id="3" xr3:uid="{EA90CBE0-ED30-4851-961A-2A1C43B17573}" name="Brand" dataDxfId="28"/>
    <tableColumn id="4" xr3:uid="{2F0D5F53-EFD1-4B96-8171-7A4C0F228776}" name="Model" dataDxfId="27"/>
    <tableColumn id="5" xr3:uid="{55512CF8-687F-4883-984C-DBDA1285C1BE}" name="Assigned To" dataDxfId="26"/>
    <tableColumn id="6" xr3:uid="{C175E4A5-CEAC-4143-8FFF-0A7FD3DD13BD}" name="Status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A01E81-7D72-435E-BA66-9B4DC4820E1E}" name="Table3" displayName="Table3" ref="A1:E11" totalsRowShown="0" headerRowDxfId="10" dataDxfId="11">
  <autoFilter ref="A1:E11" xr:uid="{95A01E81-7D72-435E-BA66-9B4DC4820E1E}"/>
  <tableColumns count="5">
    <tableColumn id="1" xr3:uid="{7BE6D6DC-2CC7-4E49-8596-B3CB94F9F242}" name="Software" dataDxfId="15"/>
    <tableColumn id="2" xr3:uid="{21F0B060-39F3-4E0D-86EC-E4156374E0AD}" name="License Key" dataDxfId="14"/>
    <tableColumn id="3" xr3:uid="{D09AA207-03E9-4FC2-81EB-0FBC285E9DFC}" name="Total Licenses" dataDxfId="13"/>
    <tableColumn id="4" xr3:uid="{86833643-A747-4C9F-9AF1-7CAD2CAD437F}" name="Used Licenses" dataDxfId="12"/>
    <tableColumn id="5" xr3:uid="{2E4F83CE-006C-4CC0-9DEA-4CC4E0C8CC0E}" name="Available Licenses" dataDxfId="9">
      <calculatedColumnFormula>C2-D2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0703C4-AF00-4038-AF8B-7B15D7A14CDB}" name="Table4" displayName="Table4" ref="A1:F11" totalsRowShown="0" headerRowDxfId="8" dataDxfId="7">
  <autoFilter ref="A1:F11" xr:uid="{520703C4-AF00-4038-AF8B-7B15D7A14CDB}"/>
  <tableColumns count="6">
    <tableColumn id="1" xr3:uid="{68D24423-EDED-4460-90C7-B2B2632339A2}" name="Ticket ID" dataDxfId="6"/>
    <tableColumn id="2" xr3:uid="{5E4C81A7-4C19-4962-A29D-3644E003E77B}" name="Employee" dataDxfId="5"/>
    <tableColumn id="3" xr3:uid="{671B79C6-06F9-4155-939A-978CE55D6017}" name="Issue" dataDxfId="4"/>
    <tableColumn id="4" xr3:uid="{C0661755-926D-4542-BDD9-D9E5CFA9EFDB}" name="Priority" dataDxfId="3"/>
    <tableColumn id="5" xr3:uid="{FA2BBAB7-D44F-459F-A035-51587D581477}" name="Status" dataDxfId="2"/>
    <tableColumn id="6" xr3:uid="{9E1D9FC1-D96C-43FE-A5ED-997AD3C62E9E}" name="Date Creat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20CD-08FB-461B-A360-140CA12B46B6}">
  <dimension ref="A1:E21"/>
  <sheetViews>
    <sheetView workbookViewId="0">
      <selection activeCell="F21" sqref="F21"/>
    </sheetView>
  </sheetViews>
  <sheetFormatPr defaultRowHeight="15" x14ac:dyDescent="0.25"/>
  <cols>
    <col min="1" max="1" width="14.28515625" customWidth="1"/>
    <col min="2" max="2" width="12.7109375" customWidth="1"/>
    <col min="3" max="3" width="12.28515625" customWidth="1"/>
    <col min="4" max="4" width="13.85546875" customWidth="1"/>
    <col min="5" max="5" width="18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2">
        <v>1001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60" x14ac:dyDescent="0.25">
      <c r="A3" s="2">
        <v>1002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60" x14ac:dyDescent="0.25">
      <c r="A4" s="2">
        <v>1003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60" x14ac:dyDescent="0.25">
      <c r="A5" s="2">
        <v>1004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60" x14ac:dyDescent="0.25">
      <c r="A6" s="2">
        <v>1005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60" x14ac:dyDescent="0.25">
      <c r="A7" s="2">
        <v>1006</v>
      </c>
      <c r="B7" s="2" t="s">
        <v>25</v>
      </c>
      <c r="C7" s="2" t="s">
        <v>26</v>
      </c>
      <c r="D7" s="2" t="s">
        <v>7</v>
      </c>
      <c r="E7" s="2" t="s">
        <v>27</v>
      </c>
    </row>
    <row r="8" spans="1:5" ht="75" x14ac:dyDescent="0.25">
      <c r="A8" s="2">
        <v>1007</v>
      </c>
      <c r="B8" s="2" t="s">
        <v>28</v>
      </c>
      <c r="C8" s="2" t="s">
        <v>29</v>
      </c>
      <c r="D8" s="2" t="s">
        <v>11</v>
      </c>
      <c r="E8" s="2" t="s">
        <v>30</v>
      </c>
    </row>
    <row r="9" spans="1:5" ht="60" x14ac:dyDescent="0.25">
      <c r="A9" s="2">
        <v>1008</v>
      </c>
      <c r="B9" s="2" t="s">
        <v>31</v>
      </c>
      <c r="C9" s="2" t="s">
        <v>32</v>
      </c>
      <c r="D9" s="2" t="s">
        <v>15</v>
      </c>
      <c r="E9" s="2" t="s">
        <v>33</v>
      </c>
    </row>
    <row r="10" spans="1:5" ht="60" x14ac:dyDescent="0.25">
      <c r="A10" s="2">
        <v>1009</v>
      </c>
      <c r="B10" s="2" t="s">
        <v>34</v>
      </c>
      <c r="C10" s="2" t="s">
        <v>35</v>
      </c>
      <c r="D10" s="2" t="s">
        <v>19</v>
      </c>
      <c r="E10" s="2" t="s">
        <v>36</v>
      </c>
    </row>
    <row r="11" spans="1:5" ht="60" x14ac:dyDescent="0.25">
      <c r="A11" s="2">
        <v>1010</v>
      </c>
      <c r="B11" s="2" t="s">
        <v>37</v>
      </c>
      <c r="C11" s="2" t="s">
        <v>38</v>
      </c>
      <c r="D11" s="2" t="s">
        <v>23</v>
      </c>
      <c r="E11" s="2" t="s">
        <v>39</v>
      </c>
    </row>
    <row r="12" spans="1:5" ht="60" x14ac:dyDescent="0.25">
      <c r="A12" s="2">
        <v>1011</v>
      </c>
      <c r="B12" s="2" t="s">
        <v>40</v>
      </c>
      <c r="C12" s="2" t="s">
        <v>41</v>
      </c>
      <c r="D12" s="2" t="s">
        <v>7</v>
      </c>
      <c r="E12" s="2" t="s">
        <v>42</v>
      </c>
    </row>
    <row r="13" spans="1:5" ht="60" x14ac:dyDescent="0.25">
      <c r="A13" s="2">
        <v>1012</v>
      </c>
      <c r="B13" s="2" t="s">
        <v>43</v>
      </c>
      <c r="C13" s="2" t="s">
        <v>44</v>
      </c>
      <c r="D13" s="2" t="s">
        <v>11</v>
      </c>
      <c r="E13" s="2" t="s">
        <v>45</v>
      </c>
    </row>
    <row r="14" spans="1:5" ht="60" x14ac:dyDescent="0.25">
      <c r="A14" s="2">
        <v>1013</v>
      </c>
      <c r="B14" s="2" t="s">
        <v>46</v>
      </c>
      <c r="C14" s="2" t="s">
        <v>47</v>
      </c>
      <c r="D14" s="2" t="s">
        <v>15</v>
      </c>
      <c r="E14" s="2" t="s">
        <v>48</v>
      </c>
    </row>
    <row r="15" spans="1:5" ht="60" x14ac:dyDescent="0.25">
      <c r="A15" s="2">
        <v>1014</v>
      </c>
      <c r="B15" s="2" t="s">
        <v>49</v>
      </c>
      <c r="C15" s="2" t="s">
        <v>50</v>
      </c>
      <c r="D15" s="2" t="s">
        <v>19</v>
      </c>
      <c r="E15" s="2" t="s">
        <v>51</v>
      </c>
    </row>
    <row r="16" spans="1:5" ht="60" x14ac:dyDescent="0.25">
      <c r="A16" s="2">
        <v>1015</v>
      </c>
      <c r="B16" s="2" t="s">
        <v>52</v>
      </c>
      <c r="C16" s="2" t="s">
        <v>53</v>
      </c>
      <c r="D16" s="2" t="s">
        <v>23</v>
      </c>
      <c r="E16" s="2" t="s">
        <v>54</v>
      </c>
    </row>
    <row r="17" spans="1:5" ht="60" x14ac:dyDescent="0.25">
      <c r="A17" s="2">
        <v>1016</v>
      </c>
      <c r="B17" s="2" t="s">
        <v>55</v>
      </c>
      <c r="C17" s="2" t="s">
        <v>56</v>
      </c>
      <c r="D17" s="2" t="s">
        <v>7</v>
      </c>
      <c r="E17" s="2" t="s">
        <v>57</v>
      </c>
    </row>
    <row r="18" spans="1:5" ht="60" x14ac:dyDescent="0.25">
      <c r="A18" s="2">
        <v>1017</v>
      </c>
      <c r="B18" s="2" t="s">
        <v>58</v>
      </c>
      <c r="C18" s="2" t="s">
        <v>59</v>
      </c>
      <c r="D18" s="2" t="s">
        <v>11</v>
      </c>
      <c r="E18" s="2" t="s">
        <v>60</v>
      </c>
    </row>
    <row r="19" spans="1:5" ht="60" x14ac:dyDescent="0.25">
      <c r="A19" s="2">
        <v>1018</v>
      </c>
      <c r="B19" s="2" t="s">
        <v>61</v>
      </c>
      <c r="C19" s="2" t="s">
        <v>62</v>
      </c>
      <c r="D19" s="2" t="s">
        <v>15</v>
      </c>
      <c r="E19" s="2" t="s">
        <v>63</v>
      </c>
    </row>
    <row r="20" spans="1:5" ht="60" x14ac:dyDescent="0.25">
      <c r="A20" s="2">
        <v>1019</v>
      </c>
      <c r="B20" s="2" t="s">
        <v>64</v>
      </c>
      <c r="C20" s="2" t="s">
        <v>65</v>
      </c>
      <c r="D20" s="2" t="s">
        <v>19</v>
      </c>
      <c r="E20" s="2" t="s">
        <v>66</v>
      </c>
    </row>
    <row r="21" spans="1:5" ht="60" x14ac:dyDescent="0.25">
      <c r="A21" s="2">
        <v>1020</v>
      </c>
      <c r="B21" s="2" t="s">
        <v>67</v>
      </c>
      <c r="C21" s="2" t="s">
        <v>68</v>
      </c>
      <c r="D21" s="2" t="s">
        <v>23</v>
      </c>
      <c r="E21" s="2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9383-7994-4A37-97F7-4FDD9C922249}">
  <dimension ref="A1:F21"/>
  <sheetViews>
    <sheetView topLeftCell="A21" workbookViewId="0">
      <selection activeCell="F33" sqref="F33"/>
    </sheetView>
  </sheetViews>
  <sheetFormatPr defaultRowHeight="15" x14ac:dyDescent="0.25"/>
  <cols>
    <col min="1" max="1" width="10.28515625" customWidth="1"/>
    <col min="2" max="2" width="13.85546875" customWidth="1"/>
    <col min="5" max="5" width="13.7109375" customWidth="1"/>
  </cols>
  <sheetData>
    <row r="1" spans="1:6" ht="30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 ht="30" x14ac:dyDescent="0.2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</row>
    <row r="3" spans="1:6" ht="30" x14ac:dyDescent="0.25">
      <c r="A3" s="2" t="s">
        <v>82</v>
      </c>
      <c r="B3" s="2" t="s">
        <v>77</v>
      </c>
      <c r="C3" s="2" t="s">
        <v>78</v>
      </c>
      <c r="D3" s="2" t="s">
        <v>79</v>
      </c>
      <c r="E3" s="2" t="s">
        <v>83</v>
      </c>
      <c r="F3" s="2" t="s">
        <v>81</v>
      </c>
    </row>
    <row r="4" spans="1:6" ht="30" x14ac:dyDescent="0.25">
      <c r="A4" s="2" t="s">
        <v>84</v>
      </c>
      <c r="B4" s="2" t="s">
        <v>77</v>
      </c>
      <c r="C4" s="2" t="s">
        <v>85</v>
      </c>
      <c r="D4" s="2" t="s">
        <v>86</v>
      </c>
      <c r="E4" s="2" t="s">
        <v>87</v>
      </c>
      <c r="F4" s="2" t="s">
        <v>81</v>
      </c>
    </row>
    <row r="5" spans="1:6" ht="30" x14ac:dyDescent="0.25">
      <c r="A5" s="2" t="s">
        <v>88</v>
      </c>
      <c r="B5" s="2" t="s">
        <v>77</v>
      </c>
      <c r="C5" s="2" t="s">
        <v>89</v>
      </c>
      <c r="D5" s="2" t="s">
        <v>90</v>
      </c>
      <c r="E5" s="2" t="s">
        <v>91</v>
      </c>
      <c r="F5" s="2" t="s">
        <v>81</v>
      </c>
    </row>
    <row r="6" spans="1:6" ht="30" x14ac:dyDescent="0.25">
      <c r="A6" s="2" t="s">
        <v>92</v>
      </c>
      <c r="B6" s="2" t="s">
        <v>77</v>
      </c>
      <c r="C6" s="2" t="s">
        <v>78</v>
      </c>
      <c r="D6" s="2" t="s">
        <v>93</v>
      </c>
      <c r="E6" s="2" t="s">
        <v>94</v>
      </c>
      <c r="F6" s="2" t="s">
        <v>81</v>
      </c>
    </row>
    <row r="7" spans="1:6" ht="30" x14ac:dyDescent="0.25">
      <c r="A7" s="2" t="s">
        <v>95</v>
      </c>
      <c r="B7" s="2" t="s">
        <v>77</v>
      </c>
      <c r="C7" s="2" t="s">
        <v>85</v>
      </c>
      <c r="D7" s="2" t="s">
        <v>96</v>
      </c>
      <c r="E7" s="2" t="s">
        <v>97</v>
      </c>
      <c r="F7" s="2" t="s">
        <v>81</v>
      </c>
    </row>
    <row r="8" spans="1:6" ht="45" x14ac:dyDescent="0.25">
      <c r="A8" s="2" t="s">
        <v>98</v>
      </c>
      <c r="B8" s="2" t="s">
        <v>77</v>
      </c>
      <c r="C8" s="2" t="s">
        <v>89</v>
      </c>
      <c r="D8" s="2" t="s">
        <v>99</v>
      </c>
      <c r="E8" s="2" t="s">
        <v>100</v>
      </c>
      <c r="F8" s="2" t="s">
        <v>81</v>
      </c>
    </row>
    <row r="9" spans="1:6" ht="45" x14ac:dyDescent="0.25">
      <c r="A9" s="2" t="s">
        <v>101</v>
      </c>
      <c r="B9" s="2" t="s">
        <v>77</v>
      </c>
      <c r="C9" s="2" t="s">
        <v>78</v>
      </c>
      <c r="D9" s="2" t="s">
        <v>102</v>
      </c>
      <c r="E9" s="2" t="s">
        <v>103</v>
      </c>
      <c r="F9" s="2" t="s">
        <v>81</v>
      </c>
    </row>
    <row r="10" spans="1:6" ht="30" x14ac:dyDescent="0.25">
      <c r="A10" s="2" t="s">
        <v>104</v>
      </c>
      <c r="B10" s="2" t="s">
        <v>77</v>
      </c>
      <c r="C10" s="2" t="s">
        <v>85</v>
      </c>
      <c r="D10" s="2" t="s">
        <v>105</v>
      </c>
      <c r="E10" s="2" t="s">
        <v>106</v>
      </c>
      <c r="F10" s="2" t="s">
        <v>81</v>
      </c>
    </row>
    <row r="11" spans="1:6" ht="30" x14ac:dyDescent="0.25">
      <c r="A11" s="2" t="s">
        <v>107</v>
      </c>
      <c r="B11" s="2" t="s">
        <v>77</v>
      </c>
      <c r="C11" s="2" t="s">
        <v>89</v>
      </c>
      <c r="D11" s="2" t="s">
        <v>108</v>
      </c>
      <c r="E11" s="2" t="s">
        <v>109</v>
      </c>
      <c r="F11" s="2" t="s">
        <v>81</v>
      </c>
    </row>
    <row r="12" spans="1:6" ht="30" x14ac:dyDescent="0.25">
      <c r="A12" s="2" t="s">
        <v>110</v>
      </c>
      <c r="B12" s="2" t="s">
        <v>111</v>
      </c>
      <c r="C12" s="2" t="s">
        <v>78</v>
      </c>
      <c r="D12" s="2" t="s">
        <v>112</v>
      </c>
      <c r="E12" s="2" t="s">
        <v>113</v>
      </c>
      <c r="F12" s="2" t="s">
        <v>81</v>
      </c>
    </row>
    <row r="13" spans="1:6" ht="30" x14ac:dyDescent="0.25">
      <c r="A13" s="2" t="s">
        <v>114</v>
      </c>
      <c r="B13" s="2" t="s">
        <v>111</v>
      </c>
      <c r="C13" s="2" t="s">
        <v>85</v>
      </c>
      <c r="D13" s="2" t="s">
        <v>115</v>
      </c>
      <c r="E13" s="2" t="s">
        <v>116</v>
      </c>
      <c r="F13" s="2" t="s">
        <v>81</v>
      </c>
    </row>
    <row r="14" spans="1:6" ht="30" x14ac:dyDescent="0.25">
      <c r="A14" s="2" t="s">
        <v>117</v>
      </c>
      <c r="B14" s="2" t="s">
        <v>111</v>
      </c>
      <c r="C14" s="2" t="s">
        <v>78</v>
      </c>
      <c r="D14" s="2" t="s">
        <v>112</v>
      </c>
      <c r="E14" s="2" t="s">
        <v>118</v>
      </c>
      <c r="F14" s="2" t="s">
        <v>81</v>
      </c>
    </row>
    <row r="15" spans="1:6" ht="45" x14ac:dyDescent="0.25">
      <c r="A15" s="2" t="s">
        <v>119</v>
      </c>
      <c r="B15" s="2" t="s">
        <v>111</v>
      </c>
      <c r="C15" s="2" t="s">
        <v>89</v>
      </c>
      <c r="D15" s="2" t="s">
        <v>120</v>
      </c>
      <c r="E15" s="2" t="s">
        <v>121</v>
      </c>
      <c r="F15" s="2" t="s">
        <v>81</v>
      </c>
    </row>
    <row r="16" spans="1:6" ht="30" x14ac:dyDescent="0.25">
      <c r="A16" s="2" t="s">
        <v>122</v>
      </c>
      <c r="B16" s="2" t="s">
        <v>111</v>
      </c>
      <c r="C16" s="2" t="s">
        <v>85</v>
      </c>
      <c r="D16" s="2" t="s">
        <v>115</v>
      </c>
      <c r="E16" s="2" t="s">
        <v>123</v>
      </c>
      <c r="F16" s="2" t="s">
        <v>81</v>
      </c>
    </row>
    <row r="17" spans="1:6" ht="30" x14ac:dyDescent="0.25">
      <c r="A17" s="2" t="s">
        <v>124</v>
      </c>
      <c r="B17" s="2" t="s">
        <v>125</v>
      </c>
      <c r="C17" s="2" t="s">
        <v>126</v>
      </c>
      <c r="D17" s="2" t="s">
        <v>127</v>
      </c>
      <c r="E17" s="2" t="s">
        <v>128</v>
      </c>
      <c r="F17" s="2" t="s">
        <v>81</v>
      </c>
    </row>
    <row r="18" spans="1:6" ht="45" x14ac:dyDescent="0.25">
      <c r="A18" s="2" t="s">
        <v>129</v>
      </c>
      <c r="B18" s="2" t="s">
        <v>125</v>
      </c>
      <c r="C18" s="2" t="s">
        <v>78</v>
      </c>
      <c r="D18" s="2" t="s">
        <v>130</v>
      </c>
      <c r="E18" s="2" t="s">
        <v>131</v>
      </c>
      <c r="F18" s="2" t="s">
        <v>81</v>
      </c>
    </row>
    <row r="19" spans="1:6" ht="30" x14ac:dyDescent="0.25">
      <c r="A19" s="2" t="s">
        <v>132</v>
      </c>
      <c r="B19" s="2" t="s">
        <v>125</v>
      </c>
      <c r="C19" s="2" t="s">
        <v>126</v>
      </c>
      <c r="D19" s="2" t="s">
        <v>133</v>
      </c>
      <c r="E19" s="2" t="s">
        <v>134</v>
      </c>
      <c r="F19" s="2" t="s">
        <v>81</v>
      </c>
    </row>
    <row r="20" spans="1:6" ht="45" x14ac:dyDescent="0.25">
      <c r="A20" s="2" t="s">
        <v>135</v>
      </c>
      <c r="B20" s="2" t="s">
        <v>125</v>
      </c>
      <c r="C20" s="2" t="s">
        <v>85</v>
      </c>
      <c r="D20" s="2" t="s">
        <v>136</v>
      </c>
      <c r="E20" s="2" t="s">
        <v>137</v>
      </c>
      <c r="F20" s="2" t="s">
        <v>81</v>
      </c>
    </row>
    <row r="21" spans="1:6" ht="30" x14ac:dyDescent="0.25">
      <c r="A21" s="2" t="s">
        <v>138</v>
      </c>
      <c r="B21" s="2" t="s">
        <v>125</v>
      </c>
      <c r="C21" s="2" t="s">
        <v>78</v>
      </c>
      <c r="D21" s="2" t="s">
        <v>130</v>
      </c>
      <c r="E21" s="2" t="s">
        <v>139</v>
      </c>
      <c r="F21" s="2" t="s">
        <v>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3ED3-F0FA-4B86-9B3A-4CA548D184C3}">
  <dimension ref="A1:E11"/>
  <sheetViews>
    <sheetView workbookViewId="0">
      <selection activeCell="E6" sqref="E6"/>
    </sheetView>
  </sheetViews>
  <sheetFormatPr defaultRowHeight="15" x14ac:dyDescent="0.25"/>
  <cols>
    <col min="1" max="1" width="11.140625" customWidth="1"/>
    <col min="2" max="2" width="13.42578125" customWidth="1"/>
    <col min="3" max="3" width="15.42578125" customWidth="1"/>
    <col min="4" max="4" width="15.5703125" customWidth="1"/>
    <col min="5" max="5" width="19.28515625" customWidth="1"/>
  </cols>
  <sheetData>
    <row r="1" spans="1:5" ht="45" x14ac:dyDescent="0.2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</row>
    <row r="2" spans="1:5" ht="30" x14ac:dyDescent="0.25">
      <c r="A2" s="2" t="s">
        <v>145</v>
      </c>
      <c r="B2" s="2" t="s">
        <v>146</v>
      </c>
      <c r="C2" s="2">
        <v>50</v>
      </c>
      <c r="D2" s="2">
        <v>38</v>
      </c>
      <c r="E2" s="2">
        <f>C2-D2</f>
        <v>12</v>
      </c>
    </row>
    <row r="3" spans="1:5" ht="45" x14ac:dyDescent="0.25">
      <c r="A3" s="2" t="s">
        <v>147</v>
      </c>
      <c r="B3" s="2" t="s">
        <v>148</v>
      </c>
      <c r="C3" s="2">
        <v>20</v>
      </c>
      <c r="D3" s="2">
        <v>14</v>
      </c>
      <c r="E3" s="2">
        <f t="shared" ref="E3:E11" si="0">C3-D3</f>
        <v>6</v>
      </c>
    </row>
    <row r="4" spans="1:5" ht="30" x14ac:dyDescent="0.25">
      <c r="A4" s="2" t="s">
        <v>149</v>
      </c>
      <c r="B4" s="2" t="s">
        <v>150</v>
      </c>
      <c r="C4" s="2">
        <v>25</v>
      </c>
      <c r="D4" s="2">
        <v>18</v>
      </c>
      <c r="E4" s="2">
        <f t="shared" si="0"/>
        <v>7</v>
      </c>
    </row>
    <row r="5" spans="1:5" x14ac:dyDescent="0.25">
      <c r="A5" s="2" t="s">
        <v>151</v>
      </c>
      <c r="B5" s="2" t="s">
        <v>152</v>
      </c>
      <c r="C5" s="2">
        <v>30</v>
      </c>
      <c r="D5" s="2">
        <v>20</v>
      </c>
      <c r="E5" s="2">
        <f t="shared" si="0"/>
        <v>10</v>
      </c>
    </row>
    <row r="6" spans="1:5" ht="30" x14ac:dyDescent="0.25">
      <c r="A6" s="2" t="s">
        <v>153</v>
      </c>
      <c r="B6" s="2" t="s">
        <v>154</v>
      </c>
      <c r="C6" s="2">
        <v>10</v>
      </c>
      <c r="D6" s="2">
        <v>6</v>
      </c>
      <c r="E6" s="2">
        <f t="shared" si="0"/>
        <v>4</v>
      </c>
    </row>
    <row r="7" spans="1:5" ht="30" x14ac:dyDescent="0.25">
      <c r="A7" s="2" t="s">
        <v>155</v>
      </c>
      <c r="B7" s="2" t="s">
        <v>156</v>
      </c>
      <c r="C7" s="2">
        <v>10</v>
      </c>
      <c r="D7" s="2">
        <v>7</v>
      </c>
      <c r="E7" s="2">
        <f t="shared" si="0"/>
        <v>3</v>
      </c>
    </row>
    <row r="8" spans="1:5" ht="30" x14ac:dyDescent="0.25">
      <c r="A8" s="2" t="s">
        <v>157</v>
      </c>
      <c r="B8" s="2" t="s">
        <v>158</v>
      </c>
      <c r="C8" s="2">
        <v>15</v>
      </c>
      <c r="D8" s="2">
        <v>9</v>
      </c>
      <c r="E8" s="2">
        <f t="shared" si="0"/>
        <v>6</v>
      </c>
    </row>
    <row r="9" spans="1:5" ht="45" x14ac:dyDescent="0.25">
      <c r="A9" s="2" t="s">
        <v>159</v>
      </c>
      <c r="B9" s="2" t="s">
        <v>160</v>
      </c>
      <c r="C9" s="2">
        <v>50</v>
      </c>
      <c r="D9" s="2">
        <v>41</v>
      </c>
      <c r="E9" s="2">
        <f t="shared" si="0"/>
        <v>9</v>
      </c>
    </row>
    <row r="10" spans="1:5" ht="30" x14ac:dyDescent="0.25">
      <c r="A10" s="2" t="s">
        <v>161</v>
      </c>
      <c r="B10" s="2" t="s">
        <v>162</v>
      </c>
      <c r="C10" s="2">
        <v>20</v>
      </c>
      <c r="D10" s="2">
        <v>11</v>
      </c>
      <c r="E10" s="2">
        <f t="shared" si="0"/>
        <v>9</v>
      </c>
    </row>
    <row r="11" spans="1:5" ht="30" x14ac:dyDescent="0.25">
      <c r="A11" s="2" t="s">
        <v>163</v>
      </c>
      <c r="B11" s="2" t="s">
        <v>164</v>
      </c>
      <c r="C11" s="2">
        <v>25</v>
      </c>
      <c r="D11" s="2">
        <v>16</v>
      </c>
      <c r="E11" s="2">
        <f t="shared" si="0"/>
        <v>9</v>
      </c>
    </row>
  </sheetData>
  <conditionalFormatting sqref="E6">
    <cfRule type="cellIs" dxfId="0" priority="1" operator="less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B068-9410-4547-BAF8-1EE6BA850197}">
  <dimension ref="A1:F11"/>
  <sheetViews>
    <sheetView workbookViewId="0">
      <selection activeCell="D4" sqref="D4"/>
    </sheetView>
  </sheetViews>
  <sheetFormatPr defaultRowHeight="15" x14ac:dyDescent="0.25"/>
  <cols>
    <col min="1" max="1" width="10.7109375" customWidth="1"/>
    <col min="2" max="2" width="12" customWidth="1"/>
    <col min="4" max="4" width="9.7109375" customWidth="1"/>
    <col min="6" max="6" width="14.7109375" customWidth="1"/>
  </cols>
  <sheetData>
    <row r="1" spans="1:6" x14ac:dyDescent="0.25">
      <c r="A1" s="1" t="s">
        <v>165</v>
      </c>
      <c r="B1" s="1" t="s">
        <v>166</v>
      </c>
      <c r="C1" s="1" t="s">
        <v>167</v>
      </c>
      <c r="D1" s="1" t="s">
        <v>168</v>
      </c>
      <c r="E1" s="1" t="s">
        <v>75</v>
      </c>
      <c r="F1" s="1" t="s">
        <v>169</v>
      </c>
    </row>
    <row r="2" spans="1:6" ht="45" x14ac:dyDescent="0.25">
      <c r="A2" s="2" t="s">
        <v>170</v>
      </c>
      <c r="B2" s="2" t="s">
        <v>80</v>
      </c>
      <c r="C2" s="2" t="s">
        <v>171</v>
      </c>
      <c r="D2" s="2" t="s">
        <v>172</v>
      </c>
      <c r="E2" s="2" t="s">
        <v>173</v>
      </c>
      <c r="F2" s="3">
        <v>46174</v>
      </c>
    </row>
    <row r="3" spans="1:6" ht="45" x14ac:dyDescent="0.25">
      <c r="A3" s="2" t="s">
        <v>174</v>
      </c>
      <c r="B3" s="2" t="s">
        <v>83</v>
      </c>
      <c r="C3" s="2" t="s">
        <v>175</v>
      </c>
      <c r="D3" s="2" t="s">
        <v>176</v>
      </c>
      <c r="E3" s="2" t="s">
        <v>177</v>
      </c>
      <c r="F3" s="3">
        <v>46174</v>
      </c>
    </row>
    <row r="4" spans="1:6" ht="45" x14ac:dyDescent="0.25">
      <c r="A4" s="2" t="s">
        <v>178</v>
      </c>
      <c r="B4" s="2" t="s">
        <v>87</v>
      </c>
      <c r="C4" s="2" t="s">
        <v>179</v>
      </c>
      <c r="D4" s="2" t="s">
        <v>203</v>
      </c>
      <c r="E4" s="2" t="s">
        <v>173</v>
      </c>
      <c r="F4" s="3">
        <v>46175</v>
      </c>
    </row>
    <row r="5" spans="1:6" ht="60" x14ac:dyDescent="0.25">
      <c r="A5" s="2" t="s">
        <v>180</v>
      </c>
      <c r="B5" s="2" t="s">
        <v>91</v>
      </c>
      <c r="C5" s="2" t="s">
        <v>181</v>
      </c>
      <c r="D5" s="2" t="s">
        <v>172</v>
      </c>
      <c r="E5" s="2" t="s">
        <v>182</v>
      </c>
      <c r="F5" s="3">
        <v>46175</v>
      </c>
    </row>
    <row r="6" spans="1:6" ht="60" x14ac:dyDescent="0.25">
      <c r="A6" s="2" t="s">
        <v>183</v>
      </c>
      <c r="B6" s="2" t="s">
        <v>94</v>
      </c>
      <c r="C6" s="2" t="s">
        <v>184</v>
      </c>
      <c r="D6" s="2" t="s">
        <v>185</v>
      </c>
      <c r="E6" s="2" t="s">
        <v>173</v>
      </c>
      <c r="F6" s="3">
        <v>46175</v>
      </c>
    </row>
    <row r="7" spans="1:6" ht="45" x14ac:dyDescent="0.25">
      <c r="A7" s="2" t="s">
        <v>186</v>
      </c>
      <c r="B7" s="2" t="s">
        <v>97</v>
      </c>
      <c r="C7" s="2" t="s">
        <v>187</v>
      </c>
      <c r="D7" s="2" t="s">
        <v>172</v>
      </c>
      <c r="E7" s="2" t="s">
        <v>177</v>
      </c>
      <c r="F7" s="3">
        <v>46175</v>
      </c>
    </row>
    <row r="8" spans="1:6" ht="30" x14ac:dyDescent="0.25">
      <c r="A8" s="2" t="s">
        <v>188</v>
      </c>
      <c r="B8" s="2" t="s">
        <v>100</v>
      </c>
      <c r="C8" s="2" t="s">
        <v>189</v>
      </c>
      <c r="D8" s="2" t="s">
        <v>172</v>
      </c>
      <c r="E8" s="2" t="s">
        <v>173</v>
      </c>
      <c r="F8" s="3">
        <v>46176</v>
      </c>
    </row>
    <row r="9" spans="1:6" ht="45" x14ac:dyDescent="0.25">
      <c r="A9" s="2" t="s">
        <v>190</v>
      </c>
      <c r="B9" s="2" t="s">
        <v>103</v>
      </c>
      <c r="C9" s="2" t="s">
        <v>191</v>
      </c>
      <c r="D9" s="2" t="s">
        <v>176</v>
      </c>
      <c r="E9" s="2" t="s">
        <v>182</v>
      </c>
      <c r="F9" s="3">
        <v>46176</v>
      </c>
    </row>
    <row r="10" spans="1:6" ht="45" x14ac:dyDescent="0.25">
      <c r="A10" s="2" t="s">
        <v>192</v>
      </c>
      <c r="B10" s="2" t="s">
        <v>106</v>
      </c>
      <c r="C10" s="2" t="s">
        <v>193</v>
      </c>
      <c r="D10" s="2" t="s">
        <v>172</v>
      </c>
      <c r="E10" s="2" t="s">
        <v>173</v>
      </c>
      <c r="F10" s="3">
        <v>46176</v>
      </c>
    </row>
    <row r="11" spans="1:6" ht="30" x14ac:dyDescent="0.25">
      <c r="A11" s="2" t="s">
        <v>194</v>
      </c>
      <c r="B11" s="2" t="s">
        <v>109</v>
      </c>
      <c r="C11" s="2" t="s">
        <v>195</v>
      </c>
      <c r="D11" s="2" t="s">
        <v>172</v>
      </c>
      <c r="E11" s="2" t="s">
        <v>182</v>
      </c>
      <c r="F11" s="3">
        <v>46176</v>
      </c>
    </row>
  </sheetData>
  <dataValidations count="2">
    <dataValidation type="list" allowBlank="1" showInputMessage="1" showErrorMessage="1" sqref="D1:D1048576" xr:uid="{C8B6A6B3-6CD2-4955-B0E1-15F1D7D8BFB0}">
      <formula1>"Low,Medium ,High"</formula1>
    </dataValidation>
    <dataValidation type="list" allowBlank="1" showInputMessage="1" showErrorMessage="1" sqref="E1:E1048576" xr:uid="{4760EA93-0C64-4004-89E9-DD7AAFC6DFF4}">
      <formula1>"Open,In Progress,Closed"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8E46-7DA8-4F64-9E05-EBA4C3BD9689}">
  <dimension ref="A1:B9"/>
  <sheetViews>
    <sheetView tabSelected="1" workbookViewId="0">
      <selection activeCell="B11" sqref="B11"/>
    </sheetView>
  </sheetViews>
  <sheetFormatPr defaultRowHeight="15" x14ac:dyDescent="0.25"/>
  <cols>
    <col min="1" max="1" width="21.28515625" customWidth="1"/>
    <col min="2" max="2" width="25.42578125" customWidth="1"/>
  </cols>
  <sheetData>
    <row r="1" spans="1:2" ht="24" thickBot="1" x14ac:dyDescent="0.4">
      <c r="A1" s="9" t="s">
        <v>201</v>
      </c>
      <c r="B1" s="10" t="s">
        <v>202</v>
      </c>
    </row>
    <row r="2" spans="1:2" ht="46.5" customHeight="1" thickBot="1" x14ac:dyDescent="0.3">
      <c r="A2" s="7" t="s">
        <v>196</v>
      </c>
      <c r="B2" s="6">
        <f>COUNTA('Employee Data Sheet'!A:A)-1</f>
        <v>20</v>
      </c>
    </row>
    <row r="3" spans="1:2" ht="46.5" customHeight="1" thickBot="1" x14ac:dyDescent="0.3">
      <c r="A3" s="8" t="s">
        <v>197</v>
      </c>
      <c r="B3" s="6">
        <f>COUNTA('Equipment Inventory Sheet'!A:A)-1</f>
        <v>20</v>
      </c>
    </row>
    <row r="4" spans="1:2" ht="24" thickBot="1" x14ac:dyDescent="0.3">
      <c r="A4" s="8" t="s">
        <v>198</v>
      </c>
      <c r="B4" s="6">
        <f>COUNTA(Ticket!A:A)-1</f>
        <v>10</v>
      </c>
    </row>
    <row r="5" spans="1:2" ht="24" thickBot="1" x14ac:dyDescent="0.3">
      <c r="A5" s="8" t="s">
        <v>199</v>
      </c>
      <c r="B5" s="6">
        <f>COUNTIF(Ticket!E:E,"Open")</f>
        <v>5</v>
      </c>
    </row>
    <row r="6" spans="1:2" ht="46.5" customHeight="1" thickBot="1" x14ac:dyDescent="0.3">
      <c r="A6" s="8" t="s">
        <v>200</v>
      </c>
      <c r="B6" s="6">
        <f>COUNTIF(Ticket!E:E,"Closed")</f>
        <v>3</v>
      </c>
    </row>
    <row r="7" spans="1:2" x14ac:dyDescent="0.25">
      <c r="A7" s="5"/>
      <c r="B7" s="5"/>
    </row>
    <row r="8" spans="1:2" x14ac:dyDescent="0.25">
      <c r="A8" s="4"/>
      <c r="B8" s="4"/>
    </row>
    <row r="9" spans="1:2" x14ac:dyDescent="0.25">
      <c r="A9" s="4"/>
      <c r="B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Data Sheet</vt:lpstr>
      <vt:lpstr>Equipment Inventory Sheet</vt:lpstr>
      <vt:lpstr>Software Licenses</vt:lpstr>
      <vt:lpstr>Ticket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Lexsys Becker</dc:creator>
  <cp:lastModifiedBy>Lexsys Becker</cp:lastModifiedBy>
  <dcterms:created xsi:type="dcterms:W3CDTF">2026-06-03T14:58:12Z</dcterms:created>
  <dcterms:modified xsi:type="dcterms:W3CDTF">2026-06-03T16:40:54Z</dcterms:modified>
</cp:coreProperties>
</file>